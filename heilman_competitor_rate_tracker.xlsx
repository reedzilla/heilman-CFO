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 Rate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<sst xmlns="http://schemas.openxmlformats.org/spreadsheetml/2006/main" count="84" uniqueCount="59">
  <si>
    <t xml:space="preserve">HEILMAN AUTO GROUP  —  Local Labor &amp; Diagnostic Rate Tracker</t>
  </si>
  <si>
    <t xml:space="preserve">Shops pre-loaded from research (names/phones verified online). Rate &amp; Diag cells are blank — confirm those on the call. Blue = you fill in. Ardmore · West Chester · Hatboro, PA</t>
  </si>
  <si>
    <t xml:space="preserve">OUR RATES (edit yellow cells)</t>
  </si>
  <si>
    <t xml:space="preserve">Heilman current labor rate ($/hr)</t>
  </si>
  <si>
    <t xml:space="preserve">Proposed target labor rate ($/hr)</t>
  </si>
  <si>
    <t xml:space="preserve">Heilman current diagnostic fee ($)</t>
  </si>
  <si>
    <t xml:space="preserve">Shop / Competitor</t>
  </si>
  <si>
    <t xml:space="preserve">Town</t>
  </si>
  <si>
    <t xml:space="preserve">Phone</t>
  </si>
  <si>
    <t xml:space="preserve">Labor Rate ($/hr)</t>
  </si>
  <si>
    <t xml:space="preserve">Diag Fee ($)</t>
  </si>
  <si>
    <t xml:space="preserve">Date Called</t>
  </si>
  <si>
    <t xml:space="preserve">Gap vs Current</t>
  </si>
  <si>
    <t xml:space="preserve">Gap vs Target</t>
  </si>
  <si>
    <t xml:space="preserve">Notes</t>
  </si>
  <si>
    <t xml:space="preserve">  WEST CHESTER  (incl. nearby Kennett Square / Chester County)</t>
  </si>
  <si>
    <t xml:space="preserve">Kranz Motorcars (Joe Kranz)</t>
  </si>
  <si>
    <t xml:space="preserve">Kennett Square</t>
  </si>
  <si>
    <t xml:space="preserve">(per Joe)</t>
  </si>
  <si>
    <t xml:space="preserve">SPECIALIST — German/European (Audi/VW/Porsche/BMW/Merc), master tech 25+ yrs. Joe quoted ~$170. Specialist segment runs high; NOT apples-to-apples vs general repair.</t>
  </si>
  <si>
    <t xml:space="preserve">Garcia Garage of WC</t>
  </si>
  <si>
    <t xml:space="preserve">West Chester</t>
  </si>
  <si>
    <t xml:space="preserve">General repair. 4.6★ (32 reviews). Good comp.</t>
  </si>
  <si>
    <t xml:space="preserve">J &amp; W Automotive</t>
  </si>
  <si>
    <t xml:space="preserve">610-436-8850</t>
  </si>
  <si>
    <t xml:space="preserve">Family-owned 35+ yrs, full-service. 2yr/24k warranty. Strong comp.</t>
  </si>
  <si>
    <t xml:space="preserve">Dave's Automotive Repair Ent.</t>
  </si>
  <si>
    <t xml:space="preserve">AAA-approved facility. General repair.</t>
  </si>
  <si>
    <t xml:space="preserve">Bimmerworks</t>
  </si>
  <si>
    <t xml:space="preserve">SPECIALIST — BMW. Runs high; not a direct comp.</t>
  </si>
  <si>
    <t xml:space="preserve">Automotive Intelligence</t>
  </si>
  <si>
    <t xml:space="preserve">Independent, highly rated. General comp.</t>
  </si>
  <si>
    <t xml:space="preserve">  ARDMORE  (Main Line)</t>
  </si>
  <si>
    <t xml:space="preserve">Ardmore Service Center</t>
  </si>
  <si>
    <t xml:space="preserve">Ardmore</t>
  </si>
  <si>
    <t xml:space="preserve">610-642-3030</t>
  </si>
  <si>
    <t xml:space="preserve">2569 Haverford Rd. Checkbook: 82% 'superior', priced ~18% BELOW avg. Value-positioned comp.</t>
  </si>
  <si>
    <t xml:space="preserve">  HATBORO</t>
  </si>
  <si>
    <t xml:space="preserve">Townline Auto</t>
  </si>
  <si>
    <t xml:space="preserve">Hatboro</t>
  </si>
  <si>
    <t xml:space="preserve">5.0★ — honest assessments. Strong comp.</t>
  </si>
  <si>
    <t xml:space="preserve">The Weeks Crew Auto Repair</t>
  </si>
  <si>
    <t xml:space="preserve">4.8★ (34 reviews). General comp.</t>
  </si>
  <si>
    <t xml:space="preserve">Dave's Auto Repair</t>
  </si>
  <si>
    <t xml:space="preserve">Checkbook-rated (18 reviews). General comp.</t>
  </si>
  <si>
    <t xml:space="preserve">Details By Annabelle Auto Svc</t>
  </si>
  <si>
    <t xml:space="preserve">Engine diag, brakes, full service.</t>
  </si>
  <si>
    <t xml:space="preserve">Auto Doctor of Warminster</t>
  </si>
  <si>
    <t xml:space="preserve">Warminster</t>
  </si>
  <si>
    <t xml:space="preserve">Near Hatboro. Checkbook-rated.</t>
  </si>
  <si>
    <t xml:space="preserve">LOCAL MARKET READ-OUT  (auto-calculates as you log rates)</t>
  </si>
  <si>
    <t xml:space="preserve">Labor rates logged</t>
  </si>
  <si>
    <t xml:space="preserve">Local market average labor ($/hr)</t>
  </si>
  <si>
    <t xml:space="preserve">Highest labor rate found</t>
  </si>
  <si>
    <t xml:space="preserve">Heilman labor vs market avg</t>
  </si>
  <si>
    <t xml:space="preserve">Local market average diag fee ($)</t>
  </si>
  <si>
    <t xml:space="preserve">Highest diag fee found</t>
  </si>
  <si>
    <t xml:space="preserve">Heilman diag vs market avg</t>
  </si>
  <si>
    <t xml:space="preserve">Comp notes: weigh GENERAL-repair shops (Garcia, J&amp;W, Ardmore Svc, Townline, Weeks Crew) for apples-to-apples vs Heilman. SPECIALIST shops (Kranz=German, Bimmerworks=BMW) run $160-200+ by segment and overstate the comp. Benchmarks: PA labor avg $75-125/hr; national independent ~$140; dealers $120-180+; diag commonly $120-180.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</si>
</sst>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;[RED]&quot;($&quot;#,##0\);\-"/>
    <numFmt numFmtId="16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color rgb="FF1F2A37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5B667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1A7F37"/>
        <bgColor rgb="FF008080"/>
      </patternFill>
    </fill>
    <fill>
      <patternFill patternType="solid">
        <fgColor rgb="FFEEF2F6"/>
        <bgColor rgb="FFFFFFFF"/>
      </patternFill>
    </fill>
    <fill>
      <patternFill patternType="solid">
        <fgColor rgb="FF9A67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F37"/>
      <rgbColor rgb="FF000080"/>
      <rgbColor rgb="FF9A6700"/>
      <rgbColor rgb="FF800080"/>
      <rgbColor rgb="FF008080"/>
      <rgbColor rgb="FFC0C0C0"/>
      <rgbColor rgb="FF808080"/>
      <rgbColor rgb="FF9999FF"/>
      <rgbColor rgb="FF993366"/>
      <rgbColor rgb="FFEEF2F6"/>
      <rgbColor rgb="FFCCFFFF"/>
      <rgbColor rgb="FF660066"/>
      <rgbColor rgb="FFFF8080"/>
      <rgbColor rgb="FF0066CC"/>
      <rgbColor rgb="FFD8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8" min="7" style="0" width="13"/>
    <col collapsed="false" customWidth="true" hidden="false" outlineLevel="0" max="9" min="9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C5" s="5" t="n">
        <v>139</v>
      </c>
    </row>
    <row r="6" customFormat="false" ht="15" hidden="false" customHeight="false" outlineLevel="0" collapsed="false">
      <c r="A6" s="4" t="s">
        <v>4</v>
      </c>
      <c r="C6" s="5" t="n">
        <v>169</v>
      </c>
    </row>
    <row r="7" customFormat="false" ht="15" hidden="false" customHeight="false" outlineLevel="0" collapsed="false">
      <c r="A7" s="4" t="s">
        <v>5</v>
      </c>
      <c r="C7" s="5" t="n">
        <v>100</v>
      </c>
    </row>
    <row r="9" customFormat="false" ht="30" hidden="false" customHeight="true" outlineLevel="0" collapsed="false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  <c r="I9" s="6" t="s">
        <v>14</v>
      </c>
    </row>
    <row r="10" customFormat="false" ht="18" hidden="false" customHeight="true" outlineLevel="0" collapsed="false">
      <c r="A10" s="7" t="s">
        <v>15</v>
      </c>
      <c r="B10" s="7"/>
      <c r="C10" s="7"/>
      <c r="D10" s="7"/>
      <c r="E10" s="7"/>
      <c r="F10" s="7"/>
      <c r="G10" s="7"/>
      <c r="H10" s="7"/>
      <c r="I10" s="7"/>
    </row>
    <row r="11" customFormat="false" ht="57.45" hidden="false" customHeight="false" outlineLevel="0" collapsed="false">
      <c r="A11" s="8" t="s">
        <v>16</v>
      </c>
      <c r="B11" s="8" t="s">
        <v>17</v>
      </c>
      <c r="C11" s="8" t="s">
        <v>18</v>
      </c>
      <c r="D11" s="9"/>
      <c r="E11" s="9"/>
      <c r="F11" s="10"/>
      <c r="G11" s="11" t="str">
        <f aca="false">IF($D11="","",$D11-$C$5)</f>
        <v/>
      </c>
      <c r="H11" s="11" t="str">
        <f aca="false">IF($D11="","",$D11-$C$6)</f>
        <v/>
      </c>
      <c r="I11" s="12" t="s">
        <v>19</v>
      </c>
    </row>
    <row r="12" customFormat="false" ht="23.85" hidden="false" customHeight="false" outlineLevel="0" collapsed="false">
      <c r="A12" s="8" t="s">
        <v>20</v>
      </c>
      <c r="B12" s="8" t="s">
        <v>21</v>
      </c>
      <c r="C12" s="8"/>
      <c r="D12" s="9"/>
      <c r="E12" s="9"/>
      <c r="F12" s="10"/>
      <c r="G12" s="11" t="str">
        <f aca="false">IF($D12="","",$D12-$C$5)</f>
        <v/>
      </c>
      <c r="H12" s="11" t="str">
        <f aca="false">IF($D12="","",$D12-$C$6)</f>
        <v/>
      </c>
      <c r="I12" s="12" t="s">
        <v>22</v>
      </c>
    </row>
    <row r="13" customFormat="false" ht="23.85" hidden="false" customHeight="false" outlineLevel="0" collapsed="false">
      <c r="A13" s="8" t="s">
        <v>23</v>
      </c>
      <c r="B13" s="8" t="s">
        <v>21</v>
      </c>
      <c r="C13" s="8" t="s">
        <v>24</v>
      </c>
      <c r="D13" s="9"/>
      <c r="E13" s="9"/>
      <c r="F13" s="10"/>
      <c r="G13" s="11" t="str">
        <f aca="false">IF($D13="","",$D13-$C$5)</f>
        <v/>
      </c>
      <c r="H13" s="11" t="str">
        <f aca="false">IF($D13="","",$D13-$C$6)</f>
        <v/>
      </c>
      <c r="I13" s="12" t="s">
        <v>25</v>
      </c>
    </row>
    <row r="14" customFormat="false" ht="15" hidden="false" customHeight="false" outlineLevel="0" collapsed="false">
      <c r="A14" s="8" t="s">
        <v>26</v>
      </c>
      <c r="B14" s="8" t="s">
        <v>21</v>
      </c>
      <c r="C14" s="8"/>
      <c r="D14" s="9"/>
      <c r="E14" s="9"/>
      <c r="F14" s="10"/>
      <c r="G14" s="11" t="str">
        <f aca="false">IF($D14="","",$D14-$C$5)</f>
        <v/>
      </c>
      <c r="H14" s="11" t="str">
        <f aca="false">IF($D14="","",$D14-$C$6)</f>
        <v/>
      </c>
      <c r="I14" s="12" t="s">
        <v>27</v>
      </c>
    </row>
    <row r="15" customFormat="false" ht="23.85" hidden="false" customHeight="false" outlineLevel="0" collapsed="false">
      <c r="A15" s="8" t="s">
        <v>28</v>
      </c>
      <c r="B15" s="8" t="s">
        <v>21</v>
      </c>
      <c r="C15" s="8"/>
      <c r="D15" s="9"/>
      <c r="E15" s="9"/>
      <c r="F15" s="10"/>
      <c r="G15" s="11" t="str">
        <f aca="false">IF($D15="","",$D15-$C$5)</f>
        <v/>
      </c>
      <c r="H15" s="11" t="str">
        <f aca="false">IF($D15="","",$D15-$C$6)</f>
        <v/>
      </c>
      <c r="I15" s="12" t="s">
        <v>29</v>
      </c>
    </row>
    <row r="16" customFormat="false" ht="15" hidden="false" customHeight="false" outlineLevel="0" collapsed="false">
      <c r="A16" s="8" t="s">
        <v>30</v>
      </c>
      <c r="B16" s="8" t="s">
        <v>21</v>
      </c>
      <c r="C16" s="8"/>
      <c r="D16" s="9"/>
      <c r="E16" s="9"/>
      <c r="F16" s="10"/>
      <c r="G16" s="11" t="str">
        <f aca="false">IF($D16="","",$D16-$C$5)</f>
        <v/>
      </c>
      <c r="H16" s="11" t="str">
        <f aca="false">IF($D16="","",$D16-$C$6)</f>
        <v/>
      </c>
      <c r="I16" s="12" t="s">
        <v>31</v>
      </c>
    </row>
    <row r="17" customFormat="false" ht="15" hidden="false" customHeight="false" outlineLevel="0" collapsed="false">
      <c r="A17" s="13"/>
      <c r="B17" s="13"/>
      <c r="C17" s="13"/>
      <c r="D17" s="9"/>
      <c r="E17" s="9"/>
      <c r="F17" s="14"/>
      <c r="G17" s="15" t="str">
        <f aca="false">IF($D17="","",$D17-$C$5)</f>
        <v/>
      </c>
      <c r="H17" s="15" t="str">
        <f aca="false">IF($D17="","",$D17-$C$6)</f>
        <v/>
      </c>
      <c r="I17" s="16"/>
    </row>
    <row r="18" customFormat="false" ht="15" hidden="false" customHeight="false" outlineLevel="0" collapsed="false">
      <c r="A18" s="13"/>
      <c r="B18" s="13"/>
      <c r="C18" s="13"/>
      <c r="D18" s="9"/>
      <c r="E18" s="9"/>
      <c r="F18" s="14"/>
      <c r="G18" s="15" t="str">
        <f aca="false">IF($D18="","",$D18-$C$5)</f>
        <v/>
      </c>
      <c r="H18" s="15" t="str">
        <f aca="false">IF($D18="","",$D18-$C$6)</f>
        <v/>
      </c>
      <c r="I18" s="16"/>
    </row>
    <row r="20" customFormat="false" ht="30" hidden="false" customHeight="true" outlineLevel="0" collapsed="false">
      <c r="A20" s="6" t="s">
        <v>6</v>
      </c>
      <c r="B20" s="6" t="s">
        <v>7</v>
      </c>
      <c r="C20" s="6" t="s">
        <v>8</v>
      </c>
      <c r="D20" s="6" t="s">
        <v>9</v>
      </c>
      <c r="E20" s="6" t="s">
        <v>10</v>
      </c>
      <c r="F20" s="6" t="s">
        <v>11</v>
      </c>
      <c r="G20" s="6" t="s">
        <v>12</v>
      </c>
      <c r="H20" s="6" t="s">
        <v>13</v>
      </c>
      <c r="I20" s="6" t="s">
        <v>14</v>
      </c>
    </row>
    <row r="21" customFormat="false" ht="18" hidden="false" customHeight="true" outlineLevel="0" collapsed="false">
      <c r="A21" s="7" t="s">
        <v>32</v>
      </c>
      <c r="B21" s="7"/>
      <c r="C21" s="7"/>
      <c r="D21" s="7"/>
      <c r="E21" s="7"/>
      <c r="F21" s="7"/>
      <c r="G21" s="7"/>
      <c r="H21" s="7"/>
      <c r="I21" s="7"/>
    </row>
    <row r="22" customFormat="false" ht="35.05" hidden="false" customHeight="false" outlineLevel="0" collapsed="false">
      <c r="A22" s="8" t="s">
        <v>33</v>
      </c>
      <c r="B22" s="8" t="s">
        <v>34</v>
      </c>
      <c r="C22" s="8" t="s">
        <v>35</v>
      </c>
      <c r="D22" s="9"/>
      <c r="E22" s="9"/>
      <c r="F22" s="10"/>
      <c r="G22" s="11" t="str">
        <f aca="false">IF($D22="","",$D22-$C$5)</f>
        <v/>
      </c>
      <c r="H22" s="11" t="str">
        <f aca="false">IF($D22="","",$D22-$C$6)</f>
        <v/>
      </c>
      <c r="I22" s="12" t="s">
        <v>36</v>
      </c>
    </row>
    <row r="23" customFormat="false" ht="15" hidden="false" customHeight="false" outlineLevel="0" collapsed="false">
      <c r="A23" s="13"/>
      <c r="B23" s="13"/>
      <c r="C23" s="13"/>
      <c r="D23" s="9"/>
      <c r="E23" s="9"/>
      <c r="F23" s="14"/>
      <c r="G23" s="15" t="str">
        <f aca="false">IF($D23="","",$D23-$C$5)</f>
        <v/>
      </c>
      <c r="H23" s="15" t="str">
        <f aca="false">IF($D23="","",$D23-$C$6)</f>
        <v/>
      </c>
      <c r="I23" s="16"/>
    </row>
    <row r="24" customFormat="false" ht="15" hidden="false" customHeight="false" outlineLevel="0" collapsed="false">
      <c r="A24" s="13"/>
      <c r="B24" s="13"/>
      <c r="C24" s="13"/>
      <c r="D24" s="9"/>
      <c r="E24" s="9"/>
      <c r="F24" s="14"/>
      <c r="G24" s="15" t="str">
        <f aca="false">IF($D24="","",$D24-$C$5)</f>
        <v/>
      </c>
      <c r="H24" s="15" t="str">
        <f aca="false">IF($D24="","",$D24-$C$6)</f>
        <v/>
      </c>
      <c r="I24" s="16"/>
    </row>
    <row r="25" customFormat="false" ht="15" hidden="false" customHeight="false" outlineLevel="0" collapsed="false">
      <c r="A25" s="13"/>
      <c r="B25" s="13"/>
      <c r="C25" s="13"/>
      <c r="D25" s="9"/>
      <c r="E25" s="9"/>
      <c r="F25" s="14"/>
      <c r="G25" s="15" t="str">
        <f aca="false">IF($D25="","",$D25-$C$5)</f>
        <v/>
      </c>
      <c r="H25" s="15" t="str">
        <f aca="false">IF($D25="","",$D25-$C$6)</f>
        <v/>
      </c>
      <c r="I25" s="16"/>
    </row>
    <row r="26" customFormat="false" ht="15" hidden="false" customHeight="false" outlineLevel="0" collapsed="false">
      <c r="A26" s="13"/>
      <c r="B26" s="13"/>
      <c r="C26" s="13"/>
      <c r="D26" s="9"/>
      <c r="E26" s="9"/>
      <c r="F26" s="14"/>
      <c r="G26" s="15" t="str">
        <f aca="false">IF($D26="","",$D26-$C$5)</f>
        <v/>
      </c>
      <c r="H26" s="15" t="str">
        <f aca="false">IF($D26="","",$D26-$C$6)</f>
        <v/>
      </c>
      <c r="I26" s="16"/>
    </row>
    <row r="28" customFormat="false" ht="30" hidden="false" customHeight="true" outlineLevel="0" collapsed="false">
      <c r="A28" s="6" t="s">
        <v>6</v>
      </c>
      <c r="B28" s="6" t="s">
        <v>7</v>
      </c>
      <c r="C28" s="6" t="s">
        <v>8</v>
      </c>
      <c r="D28" s="6" t="s">
        <v>9</v>
      </c>
      <c r="E28" s="6" t="s">
        <v>10</v>
      </c>
      <c r="F28" s="6" t="s">
        <v>11</v>
      </c>
      <c r="G28" s="6" t="s">
        <v>12</v>
      </c>
      <c r="H28" s="6" t="s">
        <v>13</v>
      </c>
      <c r="I28" s="6" t="s">
        <v>14</v>
      </c>
    </row>
    <row r="29" customFormat="false" ht="18" hidden="false" customHeight="true" outlineLevel="0" collapsed="false">
      <c r="A29" s="7" t="s">
        <v>37</v>
      </c>
      <c r="B29" s="7"/>
      <c r="C29" s="7"/>
      <c r="D29" s="7"/>
      <c r="E29" s="7"/>
      <c r="F29" s="7"/>
      <c r="G29" s="7"/>
      <c r="H29" s="7"/>
      <c r="I29" s="7"/>
    </row>
    <row r="30" customFormat="false" ht="23.85" hidden="false" customHeight="false" outlineLevel="0" collapsed="false">
      <c r="A30" s="8" t="s">
        <v>38</v>
      </c>
      <c r="B30" s="8" t="s">
        <v>39</v>
      </c>
      <c r="C30" s="8"/>
      <c r="D30" s="9"/>
      <c r="E30" s="9"/>
      <c r="F30" s="10"/>
      <c r="G30" s="11" t="str">
        <f aca="false">IF($D30="","",$D30-$C$5)</f>
        <v/>
      </c>
      <c r="H30" s="11" t="str">
        <f aca="false">IF($D30="","",$D30-$C$6)</f>
        <v/>
      </c>
      <c r="I30" s="12" t="s">
        <v>40</v>
      </c>
    </row>
    <row r="31" customFormat="false" ht="15" hidden="false" customHeight="false" outlineLevel="0" collapsed="false">
      <c r="A31" s="8" t="s">
        <v>41</v>
      </c>
      <c r="B31" s="8" t="s">
        <v>39</v>
      </c>
      <c r="C31" s="8"/>
      <c r="D31" s="9"/>
      <c r="E31" s="9"/>
      <c r="F31" s="10"/>
      <c r="G31" s="11" t="str">
        <f aca="false">IF($D31="","",$D31-$C$5)</f>
        <v/>
      </c>
      <c r="H31" s="11" t="str">
        <f aca="false">IF($D31="","",$D31-$C$6)</f>
        <v/>
      </c>
      <c r="I31" s="12" t="s">
        <v>42</v>
      </c>
    </row>
    <row r="32" customFormat="false" ht="23.85" hidden="false" customHeight="false" outlineLevel="0" collapsed="false">
      <c r="A32" s="8" t="s">
        <v>43</v>
      </c>
      <c r="B32" s="8" t="s">
        <v>39</v>
      </c>
      <c r="C32" s="8"/>
      <c r="D32" s="9"/>
      <c r="E32" s="9"/>
      <c r="F32" s="10"/>
      <c r="G32" s="11" t="str">
        <f aca="false">IF($D32="","",$D32-$C$5)</f>
        <v/>
      </c>
      <c r="H32" s="11" t="str">
        <f aca="false">IF($D32="","",$D32-$C$6)</f>
        <v/>
      </c>
      <c r="I32" s="12" t="s">
        <v>44</v>
      </c>
    </row>
    <row r="33" customFormat="false" ht="15" hidden="false" customHeight="false" outlineLevel="0" collapsed="false">
      <c r="A33" s="8" t="s">
        <v>45</v>
      </c>
      <c r="B33" s="8" t="s">
        <v>39</v>
      </c>
      <c r="C33" s="8"/>
      <c r="D33" s="9"/>
      <c r="E33" s="9"/>
      <c r="F33" s="10"/>
      <c r="G33" s="11" t="str">
        <f aca="false">IF($D33="","",$D33-$C$5)</f>
        <v/>
      </c>
      <c r="H33" s="11" t="str">
        <f aca="false">IF($D33="","",$D33-$C$6)</f>
        <v/>
      </c>
      <c r="I33" s="12" t="s">
        <v>46</v>
      </c>
    </row>
    <row r="34" customFormat="false" ht="15" hidden="false" customHeight="false" outlineLevel="0" collapsed="false">
      <c r="A34" s="8" t="s">
        <v>47</v>
      </c>
      <c r="B34" s="8" t="s">
        <v>48</v>
      </c>
      <c r="C34" s="8"/>
      <c r="D34" s="9"/>
      <c r="E34" s="9"/>
      <c r="F34" s="10"/>
      <c r="G34" s="11" t="str">
        <f aca="false">IF($D34="","",$D34-$C$5)</f>
        <v/>
      </c>
      <c r="H34" s="11" t="str">
        <f aca="false">IF($D34="","",$D34-$C$6)</f>
        <v/>
      </c>
      <c r="I34" s="12" t="s">
        <v>49</v>
      </c>
    </row>
    <row r="35" customFormat="false" ht="15" hidden="false" customHeight="false" outlineLevel="0" collapsed="false">
      <c r="A35" s="13"/>
      <c r="B35" s="13"/>
      <c r="C35" s="13"/>
      <c r="D35" s="9"/>
      <c r="E35" s="9"/>
      <c r="F35" s="14"/>
      <c r="G35" s="15" t="str">
        <f aca="false">IF($D35="","",$D35-$C$5)</f>
        <v/>
      </c>
      <c r="H35" s="15" t="str">
        <f aca="false">IF($D35="","",$D35-$C$6)</f>
        <v/>
      </c>
      <c r="I35" s="16"/>
    </row>
    <row r="36" customFormat="false" ht="15" hidden="false" customHeight="false" outlineLevel="0" collapsed="false">
      <c r="A36" s="13"/>
      <c r="B36" s="13"/>
      <c r="C36" s="13"/>
      <c r="D36" s="9"/>
      <c r="E36" s="9"/>
      <c r="F36" s="14"/>
      <c r="G36" s="15" t="str">
        <f aca="false">IF($D36="","",$D36-$C$5)</f>
        <v/>
      </c>
      <c r="H36" s="15" t="str">
        <f aca="false">IF($D36="","",$D36-$C$6)</f>
        <v/>
      </c>
      <c r="I36" s="16"/>
    </row>
    <row r="39" customFormat="false" ht="18" hidden="false" customHeight="true" outlineLevel="0" collapsed="false">
      <c r="A39" s="17" t="s">
        <v>50</v>
      </c>
      <c r="B39" s="17"/>
      <c r="C39" s="17"/>
      <c r="D39" s="17"/>
      <c r="E39" s="17"/>
      <c r="F39" s="17"/>
      <c r="G39" s="17"/>
      <c r="H39" s="17"/>
      <c r="I39" s="17"/>
    </row>
    <row r="40" customFormat="false" ht="15" hidden="false" customHeight="false" outlineLevel="0" collapsed="false">
      <c r="A40" s="18" t="s">
        <v>51</v>
      </c>
      <c r="B40" s="18"/>
      <c r="C40" s="18"/>
      <c r="D40" s="19" t="n">
        <f aca="false">(COUNT(D11:D18)+COUNT(D22:D26)+COUNT(D30:D36))</f>
        <v>0</v>
      </c>
    </row>
    <row r="41" customFormat="false" ht="15" hidden="false" customHeight="false" outlineLevel="0" collapsed="false">
      <c r="A41" s="20" t="s">
        <v>52</v>
      </c>
      <c r="B41" s="20"/>
      <c r="C41" s="20"/>
      <c r="D41" s="21" t="str">
        <f aca="false">IFERROR(SUM(D11:D18,D22:D26,D30:D36)/(COUNT(D11:D18)+COUNT(D22:D26)+COUNT(D30:D36)),"—")</f>
        <v>—</v>
      </c>
    </row>
    <row r="42" customFormat="false" ht="15" hidden="false" customHeight="false" outlineLevel="0" collapsed="false">
      <c r="A42" s="18" t="s">
        <v>53</v>
      </c>
      <c r="B42" s="18"/>
      <c r="C42" s="18"/>
      <c r="D42" s="21" t="n">
        <f aca="false">IFERROR(MAX(D11:D18,D22:D26,D30:D36),"—")</f>
        <v>0</v>
      </c>
    </row>
    <row r="43" customFormat="false" ht="15" hidden="false" customHeight="false" outlineLevel="0" collapsed="false">
      <c r="A43" s="18" t="s">
        <v>54</v>
      </c>
      <c r="B43" s="18"/>
      <c r="C43" s="18"/>
      <c r="D43" s="22" t="str">
        <f aca="false">IFERROR($C$5-(SUM(D11:D18,D22:D26,D30:D36)/(COUNT(D11:D18)+COUNT(D22:D26)+COUNT(D30:D36))),"—")</f>
        <v>—</v>
      </c>
    </row>
    <row r="44" customFormat="false" ht="15" hidden="false" customHeight="false" outlineLevel="0" collapsed="false">
      <c r="A44" s="20" t="s">
        <v>55</v>
      </c>
      <c r="B44" s="20"/>
      <c r="C44" s="20"/>
      <c r="D44" s="21" t="str">
        <f aca="false">IFERROR(SUM(E11:E18,E22:E26,E30:E36)/(COUNT(E11:E18)+COUNT(E22:E26)+COUNT(E30:E36)),"—")</f>
        <v>—</v>
      </c>
    </row>
    <row r="45" customFormat="false" ht="15" hidden="false" customHeight="false" outlineLevel="0" collapsed="false">
      <c r="A45" s="18" t="s">
        <v>56</v>
      </c>
      <c r="B45" s="18"/>
      <c r="C45" s="18"/>
      <c r="D45" s="21" t="n">
        <f aca="false">IFERROR(MAX(E11:E18,E22:E26,E30:E36),"—")</f>
        <v>0</v>
      </c>
    </row>
    <row r="46" customFormat="false" ht="15" hidden="false" customHeight="false" outlineLevel="0" collapsed="false">
      <c r="A46" s="18" t="s">
        <v>57</v>
      </c>
      <c r="B46" s="18"/>
      <c r="C46" s="18"/>
      <c r="D46" s="22" t="str">
        <f aca="false">IFERROR($C$7-(SUM(E11:E18,E22:E26,E30:E36)/(COUNT(E11:E18)+COUNT(E22:E26)+COUNT(E30:E36))),"—")</f>
        <v>—</v>
      </c>
    </row>
    <row r="48" customFormat="false" ht="54" hidden="false" customHeight="true" outlineLevel="0" collapsed="false">
      <c r="A48" s="23" t="s">
        <v>58</v>
      </c>
      <c r="B48" s="23"/>
      <c r="C48" s="23"/>
      <c r="D48" s="23"/>
      <c r="E48" s="23"/>
      <c r="F48" s="23"/>
      <c r="G48" s="23"/>
      <c r="H48" s="23"/>
      <c r="I48" s="23"/>
    </row>
  </sheetData>
  <mergeCells count="14">
    <mergeCell ref="A1:I1"/>
    <mergeCell ref="A2:I2"/>
    <mergeCell ref="A10:I10"/>
    <mergeCell ref="A21:I21"/>
    <mergeCell ref="A29:I29"/>
    <mergeCell ref="A39:I39"/>
    <mergeCell ref="A40:C40"/>
    <mergeCell ref="A41:C41"/>
    <mergeCell ref="A42:C42"/>
    <mergeCell ref="A43:C43"/>
    <mergeCell ref="A44:C44"/>
    <mergeCell ref="A45:C45"/>
    <mergeCell ref="A46:C46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2026-06-16T01:03:21Z</dcterms:created>
  <dc:creator>openpyxl</dc:creator>
  <dc:description/>
  <dc:language>en-US</dc:language>
  <cp:lastModifiedBy/>
  <dcterms:modified xsi:type="dcterms:W3CDTF">2026-06-16T01:03:21Z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