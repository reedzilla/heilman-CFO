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Bottleneck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<sst xmlns="http://schemas.openxmlformats.org/spreadsheetml/2006/main" count="22" uniqueCount="22">
  <si>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HEILMAN AUTO GROUP  —  30-Day Bottleneck Tracker</t>
  </si>
  <si>
    <t xml:space="preserve">Log four numbers a day. Goal: turn the estimate bottleneck from opinion into data before raising it. Fill the blue cells; the read-out at the bottom calculates itself.</t>
  </si>
  <si>
    <t xml:space="preserve">Date</t>
  </si>
  <si>
    <t xml:space="preserve">Cars Completed</t>
  </si>
  <si>
    <t xml:space="preserve">Avg Estimate Turnaround (min)</t>
  </si>
  <si>
    <t xml:space="preserve">Idle Tech Hours</t>
  </si>
  <si>
    <t xml:space="preserve">ARO ($)</t>
  </si>
  <si>
    <t xml:space="preserve">Comebacks (#)</t>
  </si>
  <si>
    <t xml:space="preserve">30-DAY READ-OUT  (auto-calculates)</t>
  </si>
  <si>
    <t xml:space="preserve">Avg estimate turnaround</t>
  </si>
  <si>
    <t xml:space="preserve">The bottleneck, in minutes. Lower is faster flow.</t>
  </si>
  <si>
    <t xml:space="preserve">Total idle tech hours (waiting)</t>
  </si>
  <si>
    <t xml:space="preserve">Clocked but not billing. Pure leak — multiply by labor rate to dollarize.</t>
  </si>
  <si>
    <t xml:space="preserve">Idle hours $ at $139/hr</t>
  </si>
  <si>
    <t xml:space="preserve">What the wait cost in lost billable labor over 30 days.</t>
  </si>
  <si>
    <t xml:space="preserve">Average repair order (ARO)</t>
  </si>
  <si>
    <t xml:space="preserve">Watch the spread — wild swings = inconsistent estimating.</t>
  </si>
  <si>
    <t xml:space="preserve">Comeback rate</t>
  </si>
  <si>
    <t xml:space="preserve">Re-dos as % of cars. High = overselling / first-time-wrong.</t>
  </si>
  <si>
    <t xml:space="preserve">Total cars completed</t>
  </si>
  <si>
    <t xml:space="preserve">Throughput over the period.</t>
  </si>
  <si>
    <t xml:space="preserve">How to use: log honestly for 30 days, then bring the read-out to Jack. 'We lost X billable hours waiting on estimates' is a fact he can act on; 'I think the process is slow' is an argument he can dismiss. Pair with the Bottleneck Brief.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</si>
</sst>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\ ddd"/>
    <numFmt numFmtId="166" formatCode="\$#,##0"/>
    <numFmt numFmtId="167" formatCode="0&quot; min&quot;"/>
    <numFmt numFmtId="168" formatCode="0.0&quot; hrs&quot;"/>
    <numFmt numFmtId="169" formatCode="0.0%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5B667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EEF2F6"/>
        <bgColor rgb="FFFFFFFF"/>
      </patternFill>
    </fill>
    <fill>
      <patternFill patternType="solid">
        <fgColor rgb="FF9A67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08080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46189</v>
      </c>
      <c r="B5" s="5"/>
      <c r="C5" s="5"/>
      <c r="D5" s="5"/>
      <c r="E5" s="6"/>
      <c r="F5" s="5"/>
    </row>
    <row r="6" customFormat="false" ht="15" hidden="false" customHeight="false" outlineLevel="0" collapsed="false">
      <c r="A6" s="7" t="n">
        <v>46190</v>
      </c>
      <c r="B6" s="8"/>
      <c r="C6" s="8"/>
      <c r="D6" s="8"/>
      <c r="E6" s="9"/>
      <c r="F6" s="8"/>
    </row>
    <row r="7" customFormat="false" ht="15" hidden="false" customHeight="false" outlineLevel="0" collapsed="false">
      <c r="A7" s="4" t="n">
        <v>46191</v>
      </c>
      <c r="B7" s="5"/>
      <c r="C7" s="5"/>
      <c r="D7" s="5"/>
      <c r="E7" s="6"/>
      <c r="F7" s="5"/>
    </row>
    <row r="8" customFormat="false" ht="15" hidden="false" customHeight="false" outlineLevel="0" collapsed="false">
      <c r="A8" s="7" t="n">
        <v>46192</v>
      </c>
      <c r="B8" s="8"/>
      <c r="C8" s="8"/>
      <c r="D8" s="8"/>
      <c r="E8" s="9"/>
      <c r="F8" s="8"/>
    </row>
    <row r="9" customFormat="false" ht="15" hidden="false" customHeight="false" outlineLevel="0" collapsed="false">
      <c r="A9" s="4" t="n">
        <v>46193</v>
      </c>
      <c r="B9" s="5"/>
      <c r="C9" s="5"/>
      <c r="D9" s="5"/>
      <c r="E9" s="6"/>
      <c r="F9" s="5"/>
    </row>
    <row r="10" customFormat="false" ht="15" hidden="false" customHeight="false" outlineLevel="0" collapsed="false">
      <c r="A10" s="7" t="n">
        <v>46194</v>
      </c>
      <c r="B10" s="8"/>
      <c r="C10" s="8"/>
      <c r="D10" s="8"/>
      <c r="E10" s="9"/>
      <c r="F10" s="8"/>
    </row>
    <row r="11" customFormat="false" ht="15" hidden="false" customHeight="false" outlineLevel="0" collapsed="false">
      <c r="A11" s="4" t="n">
        <v>46195</v>
      </c>
      <c r="B11" s="5"/>
      <c r="C11" s="5"/>
      <c r="D11" s="5"/>
      <c r="E11" s="6"/>
      <c r="F11" s="5"/>
    </row>
    <row r="12" customFormat="false" ht="15" hidden="false" customHeight="false" outlineLevel="0" collapsed="false">
      <c r="A12" s="7" t="n">
        <v>46196</v>
      </c>
      <c r="B12" s="8"/>
      <c r="C12" s="8"/>
      <c r="D12" s="8"/>
      <c r="E12" s="9"/>
      <c r="F12" s="8"/>
    </row>
    <row r="13" customFormat="false" ht="15" hidden="false" customHeight="false" outlineLevel="0" collapsed="false">
      <c r="A13" s="4" t="n">
        <v>46197</v>
      </c>
      <c r="B13" s="5"/>
      <c r="C13" s="5"/>
      <c r="D13" s="5"/>
      <c r="E13" s="6"/>
      <c r="F13" s="5"/>
    </row>
    <row r="14" customFormat="false" ht="15" hidden="false" customHeight="false" outlineLevel="0" collapsed="false">
      <c r="A14" s="7" t="n">
        <v>46198</v>
      </c>
      <c r="B14" s="8"/>
      <c r="C14" s="8"/>
      <c r="D14" s="8"/>
      <c r="E14" s="9"/>
      <c r="F14" s="8"/>
    </row>
    <row r="15" customFormat="false" ht="15" hidden="false" customHeight="false" outlineLevel="0" collapsed="false">
      <c r="A15" s="4" t="n">
        <v>46199</v>
      </c>
      <c r="B15" s="5"/>
      <c r="C15" s="5"/>
      <c r="D15" s="5"/>
      <c r="E15" s="6"/>
      <c r="F15" s="5"/>
    </row>
    <row r="16" customFormat="false" ht="15" hidden="false" customHeight="false" outlineLevel="0" collapsed="false">
      <c r="A16" s="7" t="n">
        <v>46200</v>
      </c>
      <c r="B16" s="8"/>
      <c r="C16" s="8"/>
      <c r="D16" s="8"/>
      <c r="E16" s="9"/>
      <c r="F16" s="8"/>
    </row>
    <row r="17" customFormat="false" ht="15" hidden="false" customHeight="false" outlineLevel="0" collapsed="false">
      <c r="A17" s="4" t="n">
        <v>46201</v>
      </c>
      <c r="B17" s="5"/>
      <c r="C17" s="5"/>
      <c r="D17" s="5"/>
      <c r="E17" s="6"/>
      <c r="F17" s="5"/>
    </row>
    <row r="18" customFormat="false" ht="15" hidden="false" customHeight="false" outlineLevel="0" collapsed="false">
      <c r="A18" s="7" t="n">
        <v>46202</v>
      </c>
      <c r="B18" s="8"/>
      <c r="C18" s="8"/>
      <c r="D18" s="8"/>
      <c r="E18" s="9"/>
      <c r="F18" s="8"/>
    </row>
    <row r="19" customFormat="false" ht="15" hidden="false" customHeight="false" outlineLevel="0" collapsed="false">
      <c r="A19" s="4" t="n">
        <v>46203</v>
      </c>
      <c r="B19" s="5"/>
      <c r="C19" s="5"/>
      <c r="D19" s="5"/>
      <c r="E19" s="6"/>
      <c r="F19" s="5"/>
    </row>
    <row r="20" customFormat="false" ht="15" hidden="false" customHeight="false" outlineLevel="0" collapsed="false">
      <c r="A20" s="7" t="n">
        <v>46204</v>
      </c>
      <c r="B20" s="8"/>
      <c r="C20" s="8"/>
      <c r="D20" s="8"/>
      <c r="E20" s="9"/>
      <c r="F20" s="8"/>
    </row>
    <row r="21" customFormat="false" ht="15" hidden="false" customHeight="false" outlineLevel="0" collapsed="false">
      <c r="A21" s="4" t="n">
        <v>46205</v>
      </c>
      <c r="B21" s="5"/>
      <c r="C21" s="5"/>
      <c r="D21" s="5"/>
      <c r="E21" s="6"/>
      <c r="F21" s="5"/>
    </row>
    <row r="22" customFormat="false" ht="15" hidden="false" customHeight="false" outlineLevel="0" collapsed="false">
      <c r="A22" s="7" t="n">
        <v>46206</v>
      </c>
      <c r="B22" s="8"/>
      <c r="C22" s="8"/>
      <c r="D22" s="8"/>
      <c r="E22" s="9"/>
      <c r="F22" s="8"/>
    </row>
    <row r="23" customFormat="false" ht="15" hidden="false" customHeight="false" outlineLevel="0" collapsed="false">
      <c r="A23" s="4" t="n">
        <v>46207</v>
      </c>
      <c r="B23" s="5"/>
      <c r="C23" s="5"/>
      <c r="D23" s="5"/>
      <c r="E23" s="6"/>
      <c r="F23" s="5"/>
    </row>
    <row r="24" customFormat="false" ht="15" hidden="false" customHeight="false" outlineLevel="0" collapsed="false">
      <c r="A24" s="7" t="n">
        <v>46208</v>
      </c>
      <c r="B24" s="8"/>
      <c r="C24" s="8"/>
      <c r="D24" s="8"/>
      <c r="E24" s="9"/>
      <c r="F24" s="8"/>
    </row>
    <row r="25" customFormat="false" ht="15" hidden="false" customHeight="false" outlineLevel="0" collapsed="false">
      <c r="A25" s="4" t="n">
        <v>46209</v>
      </c>
      <c r="B25" s="5"/>
      <c r="C25" s="5"/>
      <c r="D25" s="5"/>
      <c r="E25" s="6"/>
      <c r="F25" s="5"/>
    </row>
    <row r="26" customFormat="false" ht="15" hidden="false" customHeight="false" outlineLevel="0" collapsed="false">
      <c r="A26" s="7" t="n">
        <v>46210</v>
      </c>
      <c r="B26" s="8"/>
      <c r="C26" s="8"/>
      <c r="D26" s="8"/>
      <c r="E26" s="9"/>
      <c r="F26" s="8"/>
    </row>
    <row r="27" customFormat="false" ht="15" hidden="false" customHeight="false" outlineLevel="0" collapsed="false">
      <c r="A27" s="4" t="n">
        <v>46211</v>
      </c>
      <c r="B27" s="5"/>
      <c r="C27" s="5"/>
      <c r="D27" s="5"/>
      <c r="E27" s="6"/>
      <c r="F27" s="5"/>
    </row>
    <row r="28" customFormat="false" ht="15" hidden="false" customHeight="false" outlineLevel="0" collapsed="false">
      <c r="A28" s="7" t="n">
        <v>46212</v>
      </c>
      <c r="B28" s="8"/>
      <c r="C28" s="8"/>
      <c r="D28" s="8"/>
      <c r="E28" s="9"/>
      <c r="F28" s="8"/>
    </row>
    <row r="29" customFormat="false" ht="15" hidden="false" customHeight="false" outlineLevel="0" collapsed="false">
      <c r="A29" s="4" t="n">
        <v>46213</v>
      </c>
      <c r="B29" s="5"/>
      <c r="C29" s="5"/>
      <c r="D29" s="5"/>
      <c r="E29" s="6"/>
      <c r="F29" s="5"/>
    </row>
    <row r="30" customFormat="false" ht="15" hidden="false" customHeight="false" outlineLevel="0" collapsed="false">
      <c r="A30" s="7" t="n">
        <v>46214</v>
      </c>
      <c r="B30" s="8"/>
      <c r="C30" s="8"/>
      <c r="D30" s="8"/>
      <c r="E30" s="9"/>
      <c r="F30" s="8"/>
    </row>
    <row r="31" customFormat="false" ht="15" hidden="false" customHeight="false" outlineLevel="0" collapsed="false">
      <c r="A31" s="4" t="n">
        <v>46215</v>
      </c>
      <c r="B31" s="5"/>
      <c r="C31" s="5"/>
      <c r="D31" s="5"/>
      <c r="E31" s="6"/>
      <c r="F31" s="5"/>
    </row>
    <row r="32" customFormat="false" ht="15" hidden="false" customHeight="false" outlineLevel="0" collapsed="false">
      <c r="A32" s="7" t="n">
        <v>46216</v>
      </c>
      <c r="B32" s="8"/>
      <c r="C32" s="8"/>
      <c r="D32" s="8"/>
      <c r="E32" s="9"/>
      <c r="F32" s="8"/>
    </row>
    <row r="33" customFormat="false" ht="15" hidden="false" customHeight="false" outlineLevel="0" collapsed="false">
      <c r="A33" s="4" t="n">
        <v>46217</v>
      </c>
      <c r="B33" s="5"/>
      <c r="C33" s="5"/>
      <c r="D33" s="5"/>
      <c r="E33" s="6"/>
      <c r="F33" s="5"/>
    </row>
    <row r="34" customFormat="false" ht="15" hidden="false" customHeight="false" outlineLevel="0" collapsed="false">
      <c r="A34" s="7" t="n">
        <v>46218</v>
      </c>
      <c r="B34" s="8"/>
      <c r="C34" s="8"/>
      <c r="D34" s="8"/>
      <c r="E34" s="9"/>
      <c r="F34" s="8"/>
    </row>
    <row r="36" customFormat="false" ht="18" hidden="false" customHeight="true" outlineLevel="0" collapsed="false">
      <c r="A36" s="10" t="s">
        <v>8</v>
      </c>
      <c r="B36" s="10"/>
      <c r="C36" s="10"/>
      <c r="D36" s="10"/>
      <c r="E36" s="10"/>
      <c r="F36" s="10"/>
    </row>
    <row r="37" customFormat="false" ht="15" hidden="false" customHeight="true" outlineLevel="0" collapsed="false">
      <c r="A37" s="11" t="s">
        <v>9</v>
      </c>
      <c r="B37" s="11"/>
      <c r="C37" s="12" t="str">
        <f aca="false">IFERROR(AVERAGE(C5:C34),"—")</f>
        <v>—</v>
      </c>
      <c r="D37" s="13" t="s">
        <v>10</v>
      </c>
      <c r="E37" s="13"/>
      <c r="F37" s="13"/>
    </row>
    <row r="38" customFormat="false" ht="22.35" hidden="false" customHeight="true" outlineLevel="0" collapsed="false">
      <c r="A38" s="11" t="s">
        <v>11</v>
      </c>
      <c r="B38" s="11"/>
      <c r="C38" s="14" t="n">
        <f aca="false">SUM(D5:D34)</f>
        <v>0</v>
      </c>
      <c r="D38" s="13" t="s">
        <v>12</v>
      </c>
      <c r="E38" s="13"/>
      <c r="F38" s="13"/>
    </row>
    <row r="39" customFormat="false" ht="15" hidden="false" customHeight="true" outlineLevel="0" collapsed="false">
      <c r="A39" s="11" t="s">
        <v>13</v>
      </c>
      <c r="B39" s="11"/>
      <c r="C39" s="15" t="n">
        <f aca="false">SUM(D5:D34)*139</f>
        <v>0</v>
      </c>
      <c r="D39" s="13" t="s">
        <v>14</v>
      </c>
      <c r="E39" s="13"/>
      <c r="F39" s="13"/>
    </row>
    <row r="40" customFormat="false" ht="22.35" hidden="false" customHeight="true" outlineLevel="0" collapsed="false">
      <c r="A40" s="11" t="s">
        <v>15</v>
      </c>
      <c r="B40" s="11"/>
      <c r="C40" s="15" t="str">
        <f aca="false">IFERROR(AVERAGE(E5:E34),"—")</f>
        <v>—</v>
      </c>
      <c r="D40" s="13" t="s">
        <v>16</v>
      </c>
      <c r="E40" s="13"/>
      <c r="F40" s="13"/>
    </row>
    <row r="41" customFormat="false" ht="22.35" hidden="false" customHeight="true" outlineLevel="0" collapsed="false">
      <c r="A41" s="11" t="s">
        <v>17</v>
      </c>
      <c r="B41" s="11"/>
      <c r="C41" s="16" t="str">
        <f aca="false">IFERROR(SUM(F5:F34)/SUM(B5:B34),"—")</f>
        <v>—</v>
      </c>
      <c r="D41" s="13" t="s">
        <v>18</v>
      </c>
      <c r="E41" s="13"/>
      <c r="F41" s="13"/>
    </row>
    <row r="42" customFormat="false" ht="15" hidden="false" customHeight="true" outlineLevel="0" collapsed="false">
      <c r="A42" s="11" t="s">
        <v>19</v>
      </c>
      <c r="B42" s="11"/>
      <c r="C42" s="17" t="n">
        <f aca="false">SUM(B5:B34)</f>
        <v>0</v>
      </c>
      <c r="D42" s="13" t="s">
        <v>20</v>
      </c>
      <c r="E42" s="13"/>
      <c r="F42" s="13"/>
    </row>
    <row r="44" customFormat="false" ht="39.75" hidden="false" customHeight="true" outlineLevel="0" collapsed="false">
      <c r="A44" s="18" t="s">
        <v>21</v>
      </c>
      <c r="B44" s="18"/>
      <c r="C44" s="18"/>
      <c r="D44" s="18"/>
      <c r="E44" s="18"/>
      <c r="F44" s="18"/>
    </row>
  </sheetData>
  <mergeCells count="16">
    <mergeCell ref="A1:F1"/>
    <mergeCell ref="A2:F2"/>
    <mergeCell ref="A36:F36"/>
    <mergeCell ref="A37:B37"/>
    <mergeCell ref="D37:F37"/>
    <mergeCell ref="A38:B38"/>
    <mergeCell ref="D38:F38"/>
    <mergeCell ref="A39:B39"/>
    <mergeCell ref="D39:F39"/>
    <mergeCell ref="A40:B40"/>
    <mergeCell ref="D40:F40"/>
    <mergeCell ref="A41:B41"/>
    <mergeCell ref="D41:F41"/>
    <mergeCell ref="A42:B42"/>
    <mergeCell ref="D42:F42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2026-06-16T09:19:15Z</dcterms:created>
  <dc:creator>openpyxl</dc:creator>
  <dc:description/>
  <dc:language>en-US</dc:language>
  <cp:lastModifiedBy/>
  <dcterms:modified xsi:type="dcterms:W3CDTF">2026-06-16T09:19:15Z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