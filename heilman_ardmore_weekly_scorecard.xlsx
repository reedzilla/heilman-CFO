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dmore Weekly Scorec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<sst xmlns="http://schemas.openxmlformats.org/spreadsheetml/2006/main" count="31" uniqueCount="31">
  <si>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HEILMAN AUTO GROUP — Ardmore Weekly Scorecard</t>
  </si>
  <si>
    <t xml:space="preserve">Each week, fill ONLY the blue cells: total revenue, labor revenue, clocked hours. Everything else calculates itself — and your 'average week' builds automatically at the bottom.</t>
  </si>
  <si>
    <t xml:space="preserve">SETTINGS (edit yellow if they change)</t>
  </si>
  <si>
    <t xml:space="preserve">Techs</t>
  </si>
  <si>
    <t xml:space="preserve">Hours / tech / week</t>
  </si>
  <si>
    <t xml:space="preserve">Posted labor rate</t>
  </si>
  <si>
    <t xml:space="preserve">Bonus threshold (labor $)</t>
  </si>
  <si>
    <t xml:space="preserve">Est. labor margin %</t>
  </si>
  <si>
    <t xml:space="preserve">Est. parts margin %</t>
  </si>
  <si>
    <t xml:space="preserve">Week Ending</t>
  </si>
  <si>
    <t xml:space="preserve">Total Rev $</t>
  </si>
  <si>
    <t xml:space="preserve">Labor Rev $</t>
  </si>
  <si>
    <t xml:space="preserve">Clocked Hrs</t>
  </si>
  <si>
    <t xml:space="preserve">Parts/Other $</t>
  </si>
  <si>
    <t xml:space="preserve">Billed Hrs (est)</t>
  </si>
  <si>
    <t xml:space="preserve">Productivity</t>
  </si>
  <si>
    <t xml:space="preserve">Labor $/clk hr</t>
  </si>
  <si>
    <t xml:space="preserve">Bonus +/−</t>
  </si>
  <si>
    <t xml:space="preserve">Est. Gross Profit $</t>
  </si>
  <si>
    <t xml:space="preserve">YOUR AVERAGE WEEK  (builds automatically as you log weeks)</t>
  </si>
  <si>
    <t xml:space="preserve">Avg weekly revenue</t>
  </si>
  <si>
    <t xml:space="preserve">Your true average — not just the good weeks.</t>
  </si>
  <si>
    <t xml:space="preserve">Avg weekly labor</t>
  </si>
  <si>
    <t xml:space="preserve">Multiply by 50 for a rough annual labor run-rate.</t>
  </si>
  <si>
    <t xml:space="preserve">Avg productivity</t>
  </si>
  <si>
    <t xml:space="preserve">Billed vs clocked. 80%+ is strong.</t>
  </si>
  <si>
    <t xml:space="preserve">Weeks bonus hit</t>
  </si>
  <si>
    <t xml:space="preserve">How often labor cleared $10k.</t>
  </si>
  <si>
    <t xml:space="preserve">Avg est. gross profit / wk</t>
  </si>
  <si>
    <t xml:space="preserve">Estimate using benchmark margins — sharpens with real parts cost.</t>
  </si>
  <si>
    <t xml:space="preserve">Note: Billed hours, productivity and gross profit use estimates (posted rate + benchmark margins) until real flagged-hours and parts-cost data is available. They are directional, good enough to spot trends. Last week is pre-filled as an example.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</si>
</sst>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\$#,##0"/>
    <numFmt numFmtId="167" formatCode="0%"/>
    <numFmt numFmtId="168" formatCode="mm/dd/yy"/>
    <numFmt numFmtId="169" formatCode="0.0"/>
    <numFmt numFmtId="170" formatCode="\$#,##0;[RED]&quot;($&quot;#,##0\)"/>
    <numFmt numFmtId="171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0"/>
      <color rgb="FF1F2A37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5B667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EF2F6"/>
        <bgColor rgb="FFFFFFFF"/>
      </patternFill>
    </fill>
    <fill>
      <patternFill patternType="solid">
        <fgColor rgb="FF9A67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700"/>
      <rgbColor rgb="FF800080"/>
      <rgbColor rgb="FF008080"/>
      <rgbColor rgb="FFC0C0C0"/>
      <rgbColor rgb="FF808080"/>
      <rgbColor rgb="FF9999FF"/>
      <rgbColor rgb="FF993366"/>
      <rgbColor rgb="FFEEF2F6"/>
      <rgbColor rgb="FFCCFFFF"/>
      <rgbColor rgb="FF660066"/>
      <rgbColor rgb="FFFF8080"/>
      <rgbColor rgb="FF0066CC"/>
      <rgbColor rgb="FFD8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3</v>
      </c>
      <c r="D5" s="4" t="s">
        <v>4</v>
      </c>
      <c r="E5" s="5" t="n">
        <v>40</v>
      </c>
      <c r="G5" s="4" t="s">
        <v>5</v>
      </c>
      <c r="H5" s="6" t="n">
        <v>139</v>
      </c>
    </row>
    <row r="6" customFormat="false" ht="15" hidden="false" customHeight="false" outlineLevel="0" collapsed="false">
      <c r="A6" s="4" t="s">
        <v>6</v>
      </c>
      <c r="B6" s="6" t="n">
        <v>10000</v>
      </c>
      <c r="D6" s="4" t="s">
        <v>7</v>
      </c>
      <c r="E6" s="7" t="n">
        <v>0.65</v>
      </c>
      <c r="G6" s="4" t="s">
        <v>8</v>
      </c>
      <c r="H6" s="7" t="n">
        <v>0.47</v>
      </c>
    </row>
    <row r="8" customFormat="false" ht="39.75" hidden="false" customHeight="true" outlineLevel="0" collapsed="false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8" t="s">
        <v>14</v>
      </c>
      <c r="G8" s="8" t="s">
        <v>15</v>
      </c>
      <c r="H8" s="8" t="s">
        <v>16</v>
      </c>
      <c r="I8" s="8" t="s">
        <v>17</v>
      </c>
      <c r="J8" s="8" t="s">
        <v>18</v>
      </c>
    </row>
    <row r="9" customFormat="false" ht="15" hidden="false" customHeight="false" outlineLevel="0" collapsed="false">
      <c r="A9" s="9" t="n">
        <v>46193</v>
      </c>
      <c r="B9" s="10" t="n">
        <v>33000</v>
      </c>
      <c r="C9" s="10" t="n">
        <v>13000</v>
      </c>
      <c r="D9" s="11" t="n">
        <v>120</v>
      </c>
      <c r="E9" s="12" t="n">
        <f aca="false">IF($B9="","",$B9-$C9)</f>
        <v>20000</v>
      </c>
      <c r="F9" s="13" t="n">
        <f aca="false">IF($C9="","",$C9/$H$5)</f>
        <v>93.5251798561151</v>
      </c>
      <c r="G9" s="14" t="n">
        <f aca="false">IF(OR($C9="",$D9=""),"",($C9/$H$5)/$D9)</f>
        <v>0.779376498800959</v>
      </c>
      <c r="H9" s="12" t="n">
        <f aca="false">IF(OR($C9="",$D9=""),"",$C9/$D9)</f>
        <v>108.333333333333</v>
      </c>
      <c r="I9" s="15" t="n">
        <f aca="false">IF($C9="","",$C9-$B$6)</f>
        <v>3000</v>
      </c>
      <c r="J9" s="12" t="n">
        <f aca="false">IF($B9="","",$C9*$E$6+($B9-$C9)*$H$6)</f>
        <v>17850</v>
      </c>
    </row>
    <row r="10" customFormat="false" ht="15" hidden="false" customHeight="false" outlineLevel="0" collapsed="false">
      <c r="A10" s="16"/>
      <c r="B10" s="17"/>
      <c r="C10" s="17"/>
      <c r="D10" s="18"/>
      <c r="E10" s="19" t="str">
        <f aca="false">IF($B10="","",$B10-$C10)</f>
        <v/>
      </c>
      <c r="F10" s="20" t="str">
        <f aca="false">IF($C10="","",$C10/$H$5)</f>
        <v/>
      </c>
      <c r="G10" s="21" t="str">
        <f aca="false">IF(OR($C10="",$D10=""),"",($C10/$H$5)/$D10)</f>
        <v/>
      </c>
      <c r="H10" s="19" t="str">
        <f aca="false">IF(OR($C10="",$D10=""),"",$C10/$D10)</f>
        <v/>
      </c>
      <c r="I10" s="22" t="str">
        <f aca="false">IF($C10="","",$C10-$B$6)</f>
        <v/>
      </c>
      <c r="J10" s="19" t="str">
        <f aca="false">IF($B10="","",$C10*$E$6+($B10-$C10)*$H$6)</f>
        <v/>
      </c>
    </row>
    <row r="11" customFormat="false" ht="15" hidden="false" customHeight="false" outlineLevel="0" collapsed="false">
      <c r="A11" s="9"/>
      <c r="B11" s="10"/>
      <c r="C11" s="10"/>
      <c r="D11" s="11"/>
      <c r="E11" s="12" t="str">
        <f aca="false">IF($B11="","",$B11-$C11)</f>
        <v/>
      </c>
      <c r="F11" s="13" t="str">
        <f aca="false">IF($C11="","",$C11/$H$5)</f>
        <v/>
      </c>
      <c r="G11" s="14" t="str">
        <f aca="false">IF(OR($C11="",$D11=""),"",($C11/$H$5)/$D11)</f>
        <v/>
      </c>
      <c r="H11" s="12" t="str">
        <f aca="false">IF(OR($C11="",$D11=""),"",$C11/$D11)</f>
        <v/>
      </c>
      <c r="I11" s="15" t="str">
        <f aca="false">IF($C11="","",$C11-$B$6)</f>
        <v/>
      </c>
      <c r="J11" s="12" t="str">
        <f aca="false">IF($B11="","",$C11*$E$6+($B11-$C11)*$H$6)</f>
        <v/>
      </c>
    </row>
    <row r="12" customFormat="false" ht="15" hidden="false" customHeight="false" outlineLevel="0" collapsed="false">
      <c r="A12" s="16"/>
      <c r="B12" s="17"/>
      <c r="C12" s="17"/>
      <c r="D12" s="18"/>
      <c r="E12" s="19" t="str">
        <f aca="false">IF($B12="","",$B12-$C12)</f>
        <v/>
      </c>
      <c r="F12" s="20" t="str">
        <f aca="false">IF($C12="","",$C12/$H$5)</f>
        <v/>
      </c>
      <c r="G12" s="21" t="str">
        <f aca="false">IF(OR($C12="",$D12=""),"",($C12/$H$5)/$D12)</f>
        <v/>
      </c>
      <c r="H12" s="19" t="str">
        <f aca="false">IF(OR($C12="",$D12=""),"",$C12/$D12)</f>
        <v/>
      </c>
      <c r="I12" s="22" t="str">
        <f aca="false">IF($C12="","",$C12-$B$6)</f>
        <v/>
      </c>
      <c r="J12" s="19" t="str">
        <f aca="false">IF($B12="","",$C12*$E$6+($B12-$C12)*$H$6)</f>
        <v/>
      </c>
    </row>
    <row r="13" customFormat="false" ht="15" hidden="false" customHeight="false" outlineLevel="0" collapsed="false">
      <c r="A13" s="9"/>
      <c r="B13" s="10"/>
      <c r="C13" s="10"/>
      <c r="D13" s="11"/>
      <c r="E13" s="12" t="str">
        <f aca="false">IF($B13="","",$B13-$C13)</f>
        <v/>
      </c>
      <c r="F13" s="13" t="str">
        <f aca="false">IF($C13="","",$C13/$H$5)</f>
        <v/>
      </c>
      <c r="G13" s="14" t="str">
        <f aca="false">IF(OR($C13="",$D13=""),"",($C13/$H$5)/$D13)</f>
        <v/>
      </c>
      <c r="H13" s="12" t="str">
        <f aca="false">IF(OR($C13="",$D13=""),"",$C13/$D13)</f>
        <v/>
      </c>
      <c r="I13" s="15" t="str">
        <f aca="false">IF($C13="","",$C13-$B$6)</f>
        <v/>
      </c>
      <c r="J13" s="12" t="str">
        <f aca="false">IF($B13="","",$C13*$E$6+($B13-$C13)*$H$6)</f>
        <v/>
      </c>
    </row>
    <row r="14" customFormat="false" ht="15" hidden="false" customHeight="false" outlineLevel="0" collapsed="false">
      <c r="A14" s="16"/>
      <c r="B14" s="17"/>
      <c r="C14" s="17"/>
      <c r="D14" s="18"/>
      <c r="E14" s="19" t="str">
        <f aca="false">IF($B14="","",$B14-$C14)</f>
        <v/>
      </c>
      <c r="F14" s="20" t="str">
        <f aca="false">IF($C14="","",$C14/$H$5)</f>
        <v/>
      </c>
      <c r="G14" s="21" t="str">
        <f aca="false">IF(OR($C14="",$D14=""),"",($C14/$H$5)/$D14)</f>
        <v/>
      </c>
      <c r="H14" s="19" t="str">
        <f aca="false">IF(OR($C14="",$D14=""),"",$C14/$D14)</f>
        <v/>
      </c>
      <c r="I14" s="22" t="str">
        <f aca="false">IF($C14="","",$C14-$B$6)</f>
        <v/>
      </c>
      <c r="J14" s="19" t="str">
        <f aca="false">IF($B14="","",$C14*$E$6+($B14-$C14)*$H$6)</f>
        <v/>
      </c>
    </row>
    <row r="15" customFormat="false" ht="15" hidden="false" customHeight="false" outlineLevel="0" collapsed="false">
      <c r="A15" s="9"/>
      <c r="B15" s="10"/>
      <c r="C15" s="10"/>
      <c r="D15" s="11"/>
      <c r="E15" s="12" t="str">
        <f aca="false">IF($B15="","",$B15-$C15)</f>
        <v/>
      </c>
      <c r="F15" s="13" t="str">
        <f aca="false">IF($C15="","",$C15/$H$5)</f>
        <v/>
      </c>
      <c r="G15" s="14" t="str">
        <f aca="false">IF(OR($C15="",$D15=""),"",($C15/$H$5)/$D15)</f>
        <v/>
      </c>
      <c r="H15" s="12" t="str">
        <f aca="false">IF(OR($C15="",$D15=""),"",$C15/$D15)</f>
        <v/>
      </c>
      <c r="I15" s="15" t="str">
        <f aca="false">IF($C15="","",$C15-$B$6)</f>
        <v/>
      </c>
      <c r="J15" s="12" t="str">
        <f aca="false">IF($B15="","",$C15*$E$6+($B15-$C15)*$H$6)</f>
        <v/>
      </c>
    </row>
    <row r="16" customFormat="false" ht="15" hidden="false" customHeight="false" outlineLevel="0" collapsed="false">
      <c r="A16" s="16"/>
      <c r="B16" s="17"/>
      <c r="C16" s="17"/>
      <c r="D16" s="18"/>
      <c r="E16" s="19" t="str">
        <f aca="false">IF($B16="","",$B16-$C16)</f>
        <v/>
      </c>
      <c r="F16" s="20" t="str">
        <f aca="false">IF($C16="","",$C16/$H$5)</f>
        <v/>
      </c>
      <c r="G16" s="21" t="str">
        <f aca="false">IF(OR($C16="",$D16=""),"",($C16/$H$5)/$D16)</f>
        <v/>
      </c>
      <c r="H16" s="19" t="str">
        <f aca="false">IF(OR($C16="",$D16=""),"",$C16/$D16)</f>
        <v/>
      </c>
      <c r="I16" s="22" t="str">
        <f aca="false">IF($C16="","",$C16-$B$6)</f>
        <v/>
      </c>
      <c r="J16" s="19" t="str">
        <f aca="false">IF($B16="","",$C16*$E$6+($B16-$C16)*$H$6)</f>
        <v/>
      </c>
    </row>
    <row r="17" customFormat="false" ht="15" hidden="false" customHeight="false" outlineLevel="0" collapsed="false">
      <c r="A17" s="9"/>
      <c r="B17" s="10"/>
      <c r="C17" s="10"/>
      <c r="D17" s="11"/>
      <c r="E17" s="12" t="str">
        <f aca="false">IF($B17="","",$B17-$C17)</f>
        <v/>
      </c>
      <c r="F17" s="13" t="str">
        <f aca="false">IF($C17="","",$C17/$H$5)</f>
        <v/>
      </c>
      <c r="G17" s="14" t="str">
        <f aca="false">IF(OR($C17="",$D17=""),"",($C17/$H$5)/$D17)</f>
        <v/>
      </c>
      <c r="H17" s="12" t="str">
        <f aca="false">IF(OR($C17="",$D17=""),"",$C17/$D17)</f>
        <v/>
      </c>
      <c r="I17" s="15" t="str">
        <f aca="false">IF($C17="","",$C17-$B$6)</f>
        <v/>
      </c>
      <c r="J17" s="12" t="str">
        <f aca="false">IF($B17="","",$C17*$E$6+($B17-$C17)*$H$6)</f>
        <v/>
      </c>
    </row>
    <row r="18" customFormat="false" ht="15" hidden="false" customHeight="false" outlineLevel="0" collapsed="false">
      <c r="A18" s="16"/>
      <c r="B18" s="17"/>
      <c r="C18" s="17"/>
      <c r="D18" s="18"/>
      <c r="E18" s="19" t="str">
        <f aca="false">IF($B18="","",$B18-$C18)</f>
        <v/>
      </c>
      <c r="F18" s="20" t="str">
        <f aca="false">IF($C18="","",$C18/$H$5)</f>
        <v/>
      </c>
      <c r="G18" s="21" t="str">
        <f aca="false">IF(OR($C18="",$D18=""),"",($C18/$H$5)/$D18)</f>
        <v/>
      </c>
      <c r="H18" s="19" t="str">
        <f aca="false">IF(OR($C18="",$D18=""),"",$C18/$D18)</f>
        <v/>
      </c>
      <c r="I18" s="22" t="str">
        <f aca="false">IF($C18="","",$C18-$B$6)</f>
        <v/>
      </c>
      <c r="J18" s="19" t="str">
        <f aca="false">IF($B18="","",$C18*$E$6+($B18-$C18)*$H$6)</f>
        <v/>
      </c>
    </row>
    <row r="19" customFormat="false" ht="15" hidden="false" customHeight="false" outlineLevel="0" collapsed="false">
      <c r="A19" s="9"/>
      <c r="B19" s="10"/>
      <c r="C19" s="10"/>
      <c r="D19" s="11"/>
      <c r="E19" s="12" t="str">
        <f aca="false">IF($B19="","",$B19-$C19)</f>
        <v/>
      </c>
      <c r="F19" s="13" t="str">
        <f aca="false">IF($C19="","",$C19/$H$5)</f>
        <v/>
      </c>
      <c r="G19" s="14" t="str">
        <f aca="false">IF(OR($C19="",$D19=""),"",($C19/$H$5)/$D19)</f>
        <v/>
      </c>
      <c r="H19" s="12" t="str">
        <f aca="false">IF(OR($C19="",$D19=""),"",$C19/$D19)</f>
        <v/>
      </c>
      <c r="I19" s="15" t="str">
        <f aca="false">IF($C19="","",$C19-$B$6)</f>
        <v/>
      </c>
      <c r="J19" s="12" t="str">
        <f aca="false">IF($B19="","",$C19*$E$6+($B19-$C19)*$H$6)</f>
        <v/>
      </c>
    </row>
    <row r="20" customFormat="false" ht="15" hidden="false" customHeight="false" outlineLevel="0" collapsed="false">
      <c r="A20" s="16"/>
      <c r="B20" s="17"/>
      <c r="C20" s="17"/>
      <c r="D20" s="18"/>
      <c r="E20" s="19" t="str">
        <f aca="false">IF($B20="","",$B20-$C20)</f>
        <v/>
      </c>
      <c r="F20" s="20" t="str">
        <f aca="false">IF($C20="","",$C20/$H$5)</f>
        <v/>
      </c>
      <c r="G20" s="21" t="str">
        <f aca="false">IF(OR($C20="",$D20=""),"",($C20/$H$5)/$D20)</f>
        <v/>
      </c>
      <c r="H20" s="19" t="str">
        <f aca="false">IF(OR($C20="",$D20=""),"",$C20/$D20)</f>
        <v/>
      </c>
      <c r="I20" s="22" t="str">
        <f aca="false">IF($C20="","",$C20-$B$6)</f>
        <v/>
      </c>
      <c r="J20" s="19" t="str">
        <f aca="false">IF($B20="","",$C20*$E$6+($B20-$C20)*$H$6)</f>
        <v/>
      </c>
    </row>
    <row r="21" customFormat="false" ht="15" hidden="false" customHeight="false" outlineLevel="0" collapsed="false">
      <c r="A21" s="9"/>
      <c r="B21" s="10"/>
      <c r="C21" s="10"/>
      <c r="D21" s="11"/>
      <c r="E21" s="12" t="str">
        <f aca="false">IF($B21="","",$B21-$C21)</f>
        <v/>
      </c>
      <c r="F21" s="13" t="str">
        <f aca="false">IF($C21="","",$C21/$H$5)</f>
        <v/>
      </c>
      <c r="G21" s="14" t="str">
        <f aca="false">IF(OR($C21="",$D21=""),"",($C21/$H$5)/$D21)</f>
        <v/>
      </c>
      <c r="H21" s="12" t="str">
        <f aca="false">IF(OR($C21="",$D21=""),"",$C21/$D21)</f>
        <v/>
      </c>
      <c r="I21" s="15" t="str">
        <f aca="false">IF($C21="","",$C21-$B$6)</f>
        <v/>
      </c>
      <c r="J21" s="12" t="str">
        <f aca="false">IF($B21="","",$C21*$E$6+($B21-$C21)*$H$6)</f>
        <v/>
      </c>
    </row>
    <row r="22" customFormat="false" ht="15" hidden="false" customHeight="false" outlineLevel="0" collapsed="false">
      <c r="A22" s="16"/>
      <c r="B22" s="17"/>
      <c r="C22" s="17"/>
      <c r="D22" s="18"/>
      <c r="E22" s="19" t="str">
        <f aca="false">IF($B22="","",$B22-$C22)</f>
        <v/>
      </c>
      <c r="F22" s="20" t="str">
        <f aca="false">IF($C22="","",$C22/$H$5)</f>
        <v/>
      </c>
      <c r="G22" s="21" t="str">
        <f aca="false">IF(OR($C22="",$D22=""),"",($C22/$H$5)/$D22)</f>
        <v/>
      </c>
      <c r="H22" s="19" t="str">
        <f aca="false">IF(OR($C22="",$D22=""),"",$C22/$D22)</f>
        <v/>
      </c>
      <c r="I22" s="22" t="str">
        <f aca="false">IF($C22="","",$C22-$B$6)</f>
        <v/>
      </c>
      <c r="J22" s="19" t="str">
        <f aca="false">IF($B22="","",$C22*$E$6+($B22-$C22)*$H$6)</f>
        <v/>
      </c>
    </row>
    <row r="24" customFormat="false" ht="18" hidden="false" customHeight="true" outlineLevel="0" collapsed="false">
      <c r="A24" s="23" t="s">
        <v>19</v>
      </c>
      <c r="B24" s="23"/>
      <c r="C24" s="23"/>
      <c r="D24" s="23"/>
      <c r="E24" s="23"/>
      <c r="F24" s="23"/>
      <c r="G24" s="23"/>
      <c r="H24" s="23"/>
      <c r="I24" s="23"/>
      <c r="J24" s="23"/>
    </row>
    <row r="25" customFormat="false" ht="15" hidden="false" customHeight="true" outlineLevel="0" collapsed="false">
      <c r="A25" s="24" t="s">
        <v>20</v>
      </c>
      <c r="B25" s="24"/>
      <c r="C25" s="24"/>
      <c r="D25" s="25" t="n">
        <f aca="false">IFERROR(AVERAGE(B9:B22),"—")</f>
        <v>33000</v>
      </c>
      <c r="E25" s="26" t="s">
        <v>21</v>
      </c>
      <c r="F25" s="26"/>
      <c r="G25" s="26"/>
      <c r="H25" s="26"/>
      <c r="I25" s="26"/>
      <c r="J25" s="26"/>
    </row>
    <row r="26" customFormat="false" ht="15" hidden="false" customHeight="true" outlineLevel="0" collapsed="false">
      <c r="A26" s="24" t="s">
        <v>22</v>
      </c>
      <c r="B26" s="24"/>
      <c r="C26" s="24"/>
      <c r="D26" s="25" t="n">
        <f aca="false">IFERROR(AVERAGE(C9:C22),"—")</f>
        <v>13000</v>
      </c>
      <c r="E26" s="26" t="s">
        <v>23</v>
      </c>
      <c r="F26" s="26"/>
      <c r="G26" s="26"/>
      <c r="H26" s="26"/>
      <c r="I26" s="26"/>
      <c r="J26" s="26"/>
    </row>
    <row r="27" customFormat="false" ht="15" hidden="false" customHeight="true" outlineLevel="0" collapsed="false">
      <c r="A27" s="24" t="s">
        <v>24</v>
      </c>
      <c r="B27" s="24"/>
      <c r="C27" s="24"/>
      <c r="D27" s="27" t="n">
        <f aca="false">IFERROR(AVERAGE(G9:G22),"—")</f>
        <v>0.779376498800959</v>
      </c>
      <c r="E27" s="26" t="s">
        <v>25</v>
      </c>
      <c r="F27" s="26"/>
      <c r="G27" s="26"/>
      <c r="H27" s="26"/>
      <c r="I27" s="26"/>
      <c r="J27" s="26"/>
    </row>
    <row r="28" customFormat="false" ht="15" hidden="false" customHeight="true" outlineLevel="0" collapsed="false">
      <c r="A28" s="24" t="s">
        <v>26</v>
      </c>
      <c r="B28" s="24"/>
      <c r="C28" s="24"/>
      <c r="D28" s="28" t="str">
        <f aca="false">COUNTIF(C9:C22,"&gt;="&amp;$B$6)&amp;" of "&amp;COUNT(C9:C22)</f>
        <v>1 of 1</v>
      </c>
      <c r="E28" s="26" t="s">
        <v>27</v>
      </c>
      <c r="F28" s="26"/>
      <c r="G28" s="26"/>
      <c r="H28" s="26"/>
      <c r="I28" s="26"/>
      <c r="J28" s="26"/>
    </row>
    <row r="29" customFormat="false" ht="15" hidden="false" customHeight="true" outlineLevel="0" collapsed="false">
      <c r="A29" s="24" t="s">
        <v>28</v>
      </c>
      <c r="B29" s="24"/>
      <c r="C29" s="24"/>
      <c r="D29" s="25" t="n">
        <f aca="false">IFERROR(AVERAGE(J9:J22),"—")</f>
        <v>17850</v>
      </c>
      <c r="E29" s="26" t="s">
        <v>29</v>
      </c>
      <c r="F29" s="26"/>
      <c r="G29" s="26"/>
      <c r="H29" s="26"/>
      <c r="I29" s="26"/>
      <c r="J29" s="26"/>
    </row>
    <row r="31" customFormat="false" ht="39.75" hidden="false" customHeight="true" outlineLevel="0" collapsed="false">
      <c r="A31" s="29" t="s">
        <v>30</v>
      </c>
      <c r="B31" s="29"/>
      <c r="C31" s="29"/>
      <c r="D31" s="29"/>
      <c r="E31" s="29"/>
      <c r="F31" s="29"/>
      <c r="G31" s="29"/>
      <c r="H31" s="29"/>
      <c r="I31" s="29"/>
      <c r="J31" s="29"/>
    </row>
  </sheetData>
  <mergeCells count="14">
    <mergeCell ref="A1:J1"/>
    <mergeCell ref="A2:J2"/>
    <mergeCell ref="A24:J24"/>
    <mergeCell ref="A25:C25"/>
    <mergeCell ref="E25:J25"/>
    <mergeCell ref="A26:C26"/>
    <mergeCell ref="E26:J26"/>
    <mergeCell ref="A27:C27"/>
    <mergeCell ref="E27:J27"/>
    <mergeCell ref="A28:C28"/>
    <mergeCell ref="E28:J28"/>
    <mergeCell ref="A29:C29"/>
    <mergeCell ref="E29:J29"/>
    <mergeCell ref="A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2026-06-22T20:01:52Z</dcterms:created>
  <dc:creator>openpyxl</dc:creator>
  <dc:description/>
  <dc:language>en-US</dc:language>
  <cp:lastModifiedBy/>
  <dcterms:modified xsi:type="dcterms:W3CDTF">2026-06-22T20:01:52Z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